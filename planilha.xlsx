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dor coloque 2 unidades ai" sheetId="1" r:id="rId5"/>
  </sheets>
  <definedNames/>
  <calcPr/>
</workbook>
</file>

<file path=xl/sharedStrings.xml><?xml version="1.0" encoding="utf-8"?>
<sst xmlns="http://schemas.openxmlformats.org/spreadsheetml/2006/main" count="23" uniqueCount="17">
  <si>
    <t>Item</t>
  </si>
  <si>
    <t>Qtd</t>
  </si>
  <si>
    <t>Valor Unitário</t>
  </si>
  <si>
    <t>Valor Total</t>
  </si>
  <si>
    <t>Responsável</t>
  </si>
  <si>
    <t>Desktops</t>
  </si>
  <si>
    <t>Breno</t>
  </si>
  <si>
    <t>Servidores (32GB RAM)</t>
  </si>
  <si>
    <t>Vitor</t>
  </si>
  <si>
    <t>Roteadores (VPN Gateway)</t>
  </si>
  <si>
    <t>Firewall (Appliance + Lic.)</t>
  </si>
  <si>
    <t>Switches 48 Portas</t>
  </si>
  <si>
    <t>Cabo CAT6</t>
  </si>
  <si>
    <t>523m</t>
  </si>
  <si>
    <t>Nobreak 1500VA</t>
  </si>
  <si>
    <t>Rack 19'' (6U Parede)</t>
  </si>
  <si>
    <t>VALOR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</si>
</sst>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ervidor coloque 2 unidades ai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E10" displayName="Equipamento_Compra_Detalhe" name="Equipamento_Compra_Detalhe" id="1">
  <tableColumns count="5">
    <tableColumn name="Item" id="1"/>
    <tableColumn name="Qtd" id="2"/>
    <tableColumn totalsRowLabel="VALOR TOTAL" name="Valor Unitário" id="3"/>
    <tableColumn totalsRowFunction="custom" name="Valor Total" id="4"/>
    <tableColumn name="Responsável" id="5"/>
  </tableColumns>
  <tableStyleInfo name="servidor coloque 2 unidades a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3" max="3" width="18.75"/>
    <col customWidth="1" min="4" max="4" width="16.75"/>
    <col customWidth="1" min="5" max="5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>
        <v>22.0</v>
      </c>
      <c r="C2" s="4">
        <v>4619.85</v>
      </c>
      <c r="D2" s="4">
        <f t="shared" ref="D2:D6" si="1">PRODUCT(B2:C2)</f>
        <v>101636.7</v>
      </c>
      <c r="E2" s="5" t="s">
        <v>6</v>
      </c>
    </row>
    <row r="3" ht="22.5" customHeight="1">
      <c r="A3" s="2" t="s">
        <v>7</v>
      </c>
      <c r="B3" s="3">
        <v>2.0</v>
      </c>
      <c r="C3" s="4">
        <v>11400.0</v>
      </c>
      <c r="D3" s="4">
        <f t="shared" si="1"/>
        <v>22800</v>
      </c>
      <c r="E3" s="5" t="s">
        <v>8</v>
      </c>
    </row>
    <row r="4" ht="22.5" customHeight="1">
      <c r="A4" s="2" t="s">
        <v>9</v>
      </c>
      <c r="B4" s="3">
        <v>5.0</v>
      </c>
      <c r="C4" s="4">
        <v>5250.0</v>
      </c>
      <c r="D4" s="4">
        <f t="shared" si="1"/>
        <v>26250</v>
      </c>
      <c r="E4" s="5" t="s">
        <v>6</v>
      </c>
    </row>
    <row r="5" ht="22.5" customHeight="1">
      <c r="A5" s="2" t="s">
        <v>10</v>
      </c>
      <c r="B5" s="3">
        <v>1.0</v>
      </c>
      <c r="C5" s="4">
        <v>13987.5</v>
      </c>
      <c r="D5" s="4">
        <f t="shared" si="1"/>
        <v>13987.5</v>
      </c>
      <c r="E5" s="5" t="s">
        <v>8</v>
      </c>
    </row>
    <row r="6" ht="22.5" customHeight="1">
      <c r="A6" s="2" t="s">
        <v>11</v>
      </c>
      <c r="B6" s="3">
        <v>3.0</v>
      </c>
      <c r="C6" s="4">
        <v>4415.0</v>
      </c>
      <c r="D6" s="4">
        <f t="shared" si="1"/>
        <v>13245</v>
      </c>
      <c r="E6" s="5" t="s">
        <v>8</v>
      </c>
    </row>
    <row r="7" ht="22.5" customHeight="1">
      <c r="A7" s="2" t="s">
        <v>12</v>
      </c>
      <c r="B7" s="2" t="s">
        <v>13</v>
      </c>
      <c r="C7" s="4">
        <v>2.4</v>
      </c>
      <c r="D7" s="4">
        <v>1255.2</v>
      </c>
      <c r="E7" s="5" t="s">
        <v>6</v>
      </c>
    </row>
    <row r="8" ht="22.5" customHeight="1">
      <c r="A8" s="2" t="s">
        <v>14</v>
      </c>
      <c r="B8" s="3">
        <v>1.0</v>
      </c>
      <c r="C8" s="4">
        <v>699.11</v>
      </c>
      <c r="D8" s="4">
        <f t="shared" ref="D8:D9" si="2">PRODUCT(B8:C8)</f>
        <v>699.11</v>
      </c>
      <c r="E8" s="5" t="s">
        <v>6</v>
      </c>
    </row>
    <row r="9" ht="22.5" customHeight="1">
      <c r="A9" s="2" t="s">
        <v>15</v>
      </c>
      <c r="B9" s="3">
        <v>1.0</v>
      </c>
      <c r="C9" s="4">
        <v>470.0</v>
      </c>
      <c r="D9" s="4">
        <f t="shared" si="2"/>
        <v>470</v>
      </c>
      <c r="E9" s="5" t="s">
        <v>6</v>
      </c>
    </row>
    <row r="10" ht="22.5" customHeight="1">
      <c r="A10" s="6"/>
      <c r="B10" s="7"/>
      <c r="C10" s="8" t="s">
        <v>16</v>
      </c>
      <c r="D10" s="8">
        <f>SUM(Equipamento_Compra_Detalhe[Valor Total])</f>
        <v>180343.51</v>
      </c>
      <c r="E10" s="6"/>
    </row>
  </sheetData>
  <dataValidations>
    <dataValidation type="list" allowBlank="1" showDropDown="1" showErrorMessage="1" sqref="E2:E9">
      <formula1>"Breno,Vitor"</formula1>
    </dataValidation>
    <dataValidation type="custom" allowBlank="1" showDropDown="1" sqref="B2:D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